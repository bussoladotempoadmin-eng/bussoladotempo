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Frentes" sheetId="2" state="visible" r:id="rId2"/>
    <sheet xmlns:r="http://schemas.openxmlformats.org/officeDocument/2006/relationships" name="Blocos" sheetId="3" state="visible" r:id="rId3"/>
    <sheet xmlns:r="http://schemas.openxmlformats.org/officeDocument/2006/relationships" name="Espelho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 h&quot;"/>
    <numFmt numFmtId="165" formatCode="+0%;-0%;0%"/>
    <numFmt numFmtId="166" formatCode="+0.0&quot; h&quot;;-0.0&quot; h&quot;;0&quot; h&quot;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color rgb="000F172A"/>
      <sz val="12"/>
    </font>
    <font>
      <color rgb="000F172A"/>
      <sz val="11"/>
    </font>
    <font>
      <b val="1"/>
      <color rgb="00FFFFFF"/>
      <sz val="14"/>
    </font>
    <font>
      <color rgb="000F172A"/>
      <sz val="10"/>
    </font>
    <font>
      <name val="Calibri"/>
      <b val="1"/>
      <color rgb="00FFFFFF"/>
      <sz val="11"/>
    </font>
    <font>
      <b val="1"/>
      <sz val="12"/>
    </font>
    <font>
      <b val="1"/>
      <color rgb="00FFFFFF"/>
      <sz val="12"/>
    </font>
    <font>
      <i val="1"/>
      <color rgb="0064748B"/>
      <sz val="10"/>
    </font>
    <font>
      <b val="1"/>
      <color rgb="00FFFFFF"/>
      <sz val="16"/>
    </font>
    <font>
      <b val="1"/>
      <color rgb="00FFFFFF"/>
    </font>
    <font>
      <b val="1"/>
    </font>
    <font>
      <b val="1"/>
      <sz val="14"/>
    </font>
    <font>
      <b val="1"/>
      <color rgb="003B82F6"/>
      <sz val="13"/>
    </font>
    <font>
      <i val="1"/>
      <color rgb="0064748B"/>
    </font>
    <font>
      <b val="1"/>
      <i val="1"/>
      <color rgb="003B82F6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F97316"/>
        <bgColor rgb="00F97316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F1F5F9"/>
        <bgColor rgb="00F1F5F9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94A3B8"/>
        <bgColor rgb="0094A3B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0" fontId="8" fillId="3" borderId="1" pivotButton="0" quotePrefix="0" xfId="0"/>
    <xf numFmtId="0" fontId="0" fillId="0" borderId="1" applyAlignment="1" pivotButton="0" quotePrefix="0" xfId="0">
      <alignment horizontal="center"/>
    </xf>
    <xf numFmtId="0" fontId="8" fillId="4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0" fillId="0" borderId="1" pivotButton="0" quotePrefix="0" xfId="0"/>
    <xf numFmtId="0" fontId="10" fillId="2" borderId="0" applyAlignment="1" pivotButton="0" quotePrefix="0" xfId="0">
      <alignment horizontal="center" vertical="center"/>
    </xf>
    <xf numFmtId="0" fontId="0" fillId="7" borderId="0" pivotButton="0" quotePrefix="0" xfId="0"/>
    <xf numFmtId="0" fontId="11" fillId="3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12" fillId="7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164" fontId="13" fillId="7" borderId="1" applyAlignment="1" pivotButton="0" quotePrefix="0" xfId="0">
      <alignment horizontal="center"/>
    </xf>
    <xf numFmtId="0" fontId="14" fillId="0" borderId="0" pivotButton="0" quotePrefix="0" xfId="0"/>
    <xf numFmtId="9" fontId="0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0" fontId="15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6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10B981"/>
          <bgColor rgb="0010B981"/>
        </patternFill>
      </fill>
    </dxf>
    <dxf>
      <font>
        <b val="1"/>
        <color rgb="00FFFFFF"/>
      </font>
      <fill>
        <patternFill patternType="solid">
          <fgColor rgb="00EF4444"/>
          <bgColor rgb="00EF4444"/>
        </patternFill>
      </fill>
    </dxf>
    <dxf>
      <font>
        <b val="1"/>
        <color rgb="00FFFFFF"/>
      </font>
      <fill>
        <patternFill patternType="solid">
          <fgColor rgb="0094A3B8"/>
          <bgColor rgb="0094A3B8"/>
        </patternFill>
      </fill>
    </dxf>
    <dxf>
      <font>
        <b val="1"/>
        <color rgb="00FFFFFF"/>
      </font>
      <fill>
        <patternFill patternType="solid">
          <fgColor rgb="003B82F6"/>
          <bgColor rgb="003B82F6"/>
        </patternFill>
      </fill>
    </dxf>
    <dxf>
      <font>
        <b val="1"/>
        <color rgb="00FFFFFF"/>
      </font>
      <fill>
        <patternFill patternType="solid">
          <fgColor rgb="00F97316"/>
          <bgColor rgb="00F97316"/>
        </patternFill>
      </fill>
    </dxf>
    <dxf>
      <font>
        <b val="1"/>
        <color rgb="00FFFFFF"/>
      </font>
      <fill>
        <patternFill patternType="solid">
          <fgColor rgb="00A855F7"/>
          <bgColor rgb="00A855F7"/>
        </patternFill>
      </fill>
    </dxf>
    <dxf>
      <font>
        <b val="1"/>
        <color rgb="00FFFFFF"/>
      </font>
      <fill>
        <patternFill patternType="solid">
          <fgColor rgb="0022C55E"/>
          <bgColor rgb="0022C55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🧭 Planilha Piloto · App de Gestão de Tempo</t>
        </is>
      </c>
    </row>
    <row r="2" ht="20" customHeight="1">
      <c r="A2" s="2" t="inlineStr">
        <is>
          <t>Matriz Frente × Bússola do Tempo</t>
        </is>
      </c>
    </row>
    <row r="3" ht="20" customHeight="1">
      <c r="A3" s="3" t="inlineStr"/>
    </row>
    <row r="4" ht="22" customHeight="1">
      <c r="A4" s="4" t="inlineStr">
        <is>
          <t>Como usar</t>
        </is>
      </c>
    </row>
    <row r="5" ht="20" customHeight="1">
      <c r="A5" s="3" t="inlineStr">
        <is>
          <t>1. Vá pra aba 'Frentes' e ajuste seu orçamento de horas por frente.</t>
        </is>
      </c>
    </row>
    <row r="6" ht="20" customHeight="1">
      <c r="A6" s="3" t="inlineStr">
        <is>
          <t>2. Vá pra aba 'Blocos' e edite/adicione os blocos da sua semana.</t>
        </is>
      </c>
    </row>
    <row r="7" ht="20" customHeight="1">
      <c r="A7" s="3" t="inlineStr">
        <is>
          <t>3. Na coluna 'Planejado', classifique como Importante/Urgente/Disperso antes da semana.</t>
        </is>
      </c>
    </row>
    <row r="8" ht="20" customHeight="1">
      <c r="A8" s="3" t="inlineStr">
        <is>
          <t>4. Na coluna 'Realizado', ajuste depois (durante ou no fim da semana) conforme o que aconteceu de verdade.</t>
        </is>
      </c>
    </row>
    <row r="9" ht="20" customHeight="1">
      <c r="A9" s="3" t="inlineStr">
        <is>
          <t>5. Veja a aba 'Espelho' — matriz calculada automaticamente.</t>
        </is>
      </c>
    </row>
    <row r="10" ht="20" customHeight="1">
      <c r="A10" s="3" t="inlineStr">
        <is>
          <t>6. Veja a aba 'Insights' — padrões detectados automaticamente.</t>
        </is>
      </c>
    </row>
    <row r="11" ht="20" customHeight="1">
      <c r="A11" s="3" t="inlineStr"/>
    </row>
    <row r="12" ht="22" customHeight="1">
      <c r="A12" s="4" t="inlineStr">
        <is>
          <t>Importante / Urgente / Disperso — a Bússola do Tempo</t>
        </is>
      </c>
    </row>
    <row r="13" ht="20" customHeight="1">
      <c r="A13" s="3" t="inlineStr">
        <is>
          <t>🎯 Importante: estratégico, alinhado com objetivos, gera resultado real.</t>
        </is>
      </c>
    </row>
    <row r="14" ht="20" customHeight="1">
      <c r="A14" s="3" t="inlineStr">
        <is>
          <t>🔥 Urgente: tem prazo apertado, exige ação imediata — pode não ser importante.</t>
        </is>
      </c>
    </row>
    <row r="15" ht="20" customHeight="1">
      <c r="A15" s="3" t="inlineStr">
        <is>
          <t>💨 Disperso: parece trabalho mas não gera resultado nem tem prazo real.</t>
        </is>
      </c>
    </row>
    <row r="16" ht="20" customHeight="1">
      <c r="A16" s="3" t="inlineStr"/>
    </row>
    <row r="17" ht="22" customHeight="1">
      <c r="A17" s="4" t="inlineStr">
        <is>
          <t>Atalhos úteis</t>
        </is>
      </c>
    </row>
    <row r="18" ht="20" customHeight="1">
      <c r="A18" s="3" t="inlineStr">
        <is>
          <t>• Tudo é calculado por fórmula. Mude qualquer célula e veja a matriz/insights recalcularem.</t>
        </is>
      </c>
    </row>
    <row r="19" ht="20" customHeight="1">
      <c r="A19" s="3" t="inlineStr">
        <is>
          <t>• Pra adicionar bloco: vá pra última linha da aba 'Blocos' e digite. Fórmulas se estendem sozinhas.</t>
        </is>
      </c>
    </row>
    <row r="20" ht="20" customHeight="1">
      <c r="A20" s="3" t="inlineStr">
        <is>
          <t>• Pra adicionar frente: vá pra última linha da aba 'Frentes' e digite. Atualize a aba 'Espelho' (instruções lá).</t>
        </is>
      </c>
    </row>
    <row r="21" ht="20" customHeight="1">
      <c r="A21" s="3" t="inlineStr">
        <is>
          <t>• Drop-down nas colunas Frente / Planejado / Realizado.</t>
        </is>
      </c>
    </row>
    <row r="22" ht="20" customHeight="1">
      <c r="A22" s="3" t="inlineStr"/>
    </row>
    <row r="23" ht="20" customHeight="1">
      <c r="A23" s="5" t="inlineStr">
        <is>
          <t>Versão V1 · Gerada 25/05/2026 · Caso Lucas Silveira pré-preenchido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8" customWidth="1" min="4" max="4"/>
    <col width="14" customWidth="1" min="5" max="5"/>
    <col width="18" customWidth="1" min="6" max="6"/>
  </cols>
  <sheetData>
    <row r="1" ht="28" customHeight="1">
      <c r="A1" s="6" t="inlineStr">
        <is>
          <t>Nome</t>
        </is>
      </c>
      <c r="B1" s="6" t="inlineStr">
        <is>
          <t>Ícone</t>
        </is>
      </c>
      <c r="C1" s="6" t="inlineStr">
        <is>
          <t>Orçamento (h/sem)</t>
        </is>
      </c>
      <c r="D1" s="6" t="inlineStr">
        <is>
          <t>Realizado (h)</t>
        </is>
      </c>
      <c r="E1" s="6" t="inlineStr">
        <is>
          <t>Variação</t>
        </is>
      </c>
      <c r="F1" s="6" t="inlineStr">
        <is>
          <t>Status</t>
        </is>
      </c>
    </row>
    <row r="2">
      <c r="A2" s="7" t="inlineStr">
        <is>
          <t>Doctum</t>
        </is>
      </c>
      <c r="B2" s="8" t="inlineStr">
        <is>
          <t>🏢</t>
        </is>
      </c>
      <c r="C2" s="8" t="n">
        <v>36</v>
      </c>
      <c r="D2" s="8">
        <f>SUMIF(Blocos!E:E,A2,Blocos!D:D)</f>
        <v/>
      </c>
      <c r="E2" s="8">
        <f>D2-C2</f>
        <v/>
      </c>
      <c r="F2" s="8">
        <f>IF(ABS(E2)&lt;1,"✓ no plano",IF(E2&gt;0,"⬆ estourou","⬇ abaixo"))</f>
        <v/>
      </c>
    </row>
    <row r="3">
      <c r="A3" s="9" t="inlineStr">
        <is>
          <t>Tribo</t>
        </is>
      </c>
      <c r="B3" s="8" t="inlineStr">
        <is>
          <t>🛒</t>
        </is>
      </c>
      <c r="C3" s="8" t="n">
        <v>18</v>
      </c>
      <c r="D3" s="8">
        <f>SUMIF(Blocos!E:E,A3,Blocos!D:D)</f>
        <v/>
      </c>
      <c r="E3" s="8">
        <f>D3-C3</f>
        <v/>
      </c>
      <c r="F3" s="8">
        <f>IF(ABS(E3)&lt;1,"✓ no plano",IF(E3&gt;0,"⬆ estourou","⬇ abaixo"))</f>
        <v/>
      </c>
    </row>
    <row r="4">
      <c r="A4" s="10" t="inlineStr">
        <is>
          <t>Dra. Bruna</t>
        </is>
      </c>
      <c r="B4" s="8" t="inlineStr">
        <is>
          <t>🎓</t>
        </is>
      </c>
      <c r="C4" s="8" t="n">
        <v>2.5</v>
      </c>
      <c r="D4" s="8">
        <f>SUMIF(Blocos!E:E,A4,Blocos!D:D)</f>
        <v/>
      </c>
      <c r="E4" s="8">
        <f>D4-C4</f>
        <v/>
      </c>
      <c r="F4" s="8">
        <f>IF(ABS(E4)&lt;1,"✓ no plano",IF(E4&gt;0,"⬆ estourou","⬇ abaixo"))</f>
        <v/>
      </c>
    </row>
    <row r="5">
      <c r="A5" s="11" t="inlineStr">
        <is>
          <t>CuidaJA</t>
        </is>
      </c>
      <c r="B5" s="8" t="inlineStr">
        <is>
          <t>🤝</t>
        </is>
      </c>
      <c r="C5" s="8" t="n">
        <v>2.5</v>
      </c>
      <c r="D5" s="8">
        <f>SUMIF(Blocos!E:E,A5,Blocos!D:D)</f>
        <v/>
      </c>
      <c r="E5" s="8">
        <f>D5-C5</f>
        <v/>
      </c>
      <c r="F5" s="8">
        <f>IF(ABS(E5)&lt;1,"✓ no plano",IF(E5&gt;0,"⬆ estourou","⬇ abaixo"))</f>
        <v/>
      </c>
    </row>
    <row r="8">
      <c r="A8" s="12" t="inlineStr">
        <is>
          <t>💡 Pra adicionar frente: digite o nome em A8, ícone em B, orçamento em C. As fórmulas se replicam.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4" customWidth="1" min="5" max="5"/>
    <col width="42" customWidth="1" min="6" max="6"/>
    <col width="16" customWidth="1" min="7" max="7"/>
    <col width="16" customWidth="1" min="8" max="8"/>
  </cols>
  <sheetData>
    <row r="1" ht="28" customHeight="1">
      <c r="A1" s="6" t="inlineStr">
        <is>
          <t>Dia</t>
        </is>
      </c>
      <c r="B1" s="6" t="inlineStr">
        <is>
          <t>Início</t>
        </is>
      </c>
      <c r="C1" s="6" t="inlineStr">
        <is>
          <t>Fim</t>
        </is>
      </c>
      <c r="D1" s="6" t="inlineStr">
        <is>
          <t>Duração (h)</t>
        </is>
      </c>
      <c r="E1" s="6" t="inlineStr">
        <is>
          <t>Frente</t>
        </is>
      </c>
      <c r="F1" s="6" t="inlineStr">
        <is>
          <t>Tarefa / entrega</t>
        </is>
      </c>
      <c r="G1" s="6" t="inlineStr">
        <is>
          <t>Planejado</t>
        </is>
      </c>
      <c r="H1" s="6" t="inlineStr">
        <is>
          <t>Realizado</t>
        </is>
      </c>
    </row>
    <row r="2">
      <c r="A2" s="8" t="inlineStr">
        <is>
          <t>SEG</t>
        </is>
      </c>
      <c r="B2" s="8" t="inlineStr">
        <is>
          <t>08:00</t>
        </is>
      </c>
      <c r="C2" s="8" t="inlineStr">
        <is>
          <t>12:00</t>
        </is>
      </c>
      <c r="D2" s="8">
        <f>IFERROR((TIMEVALUE(C2)-TIMEVALUE(B2))*24,"")</f>
        <v/>
      </c>
      <c r="E2" s="13" t="inlineStr">
        <is>
          <t>Doctum</t>
        </is>
      </c>
      <c r="F2" s="13" t="inlineStr">
        <is>
          <t>Revisar pipeline + alinhar marketing</t>
        </is>
      </c>
      <c r="G2" s="8" t="inlineStr">
        <is>
          <t>Importante</t>
        </is>
      </c>
      <c r="H2" s="8" t="inlineStr">
        <is>
          <t>Importante</t>
        </is>
      </c>
    </row>
    <row r="3">
      <c r="A3" s="8" t="inlineStr">
        <is>
          <t>SEG</t>
        </is>
      </c>
      <c r="B3" s="8" t="inlineStr">
        <is>
          <t>13:30</t>
        </is>
      </c>
      <c r="C3" s="8" t="inlineStr">
        <is>
          <t>18:00</t>
        </is>
      </c>
      <c r="D3" s="8">
        <f>IFERROR((TIMEVALUE(C3)-TIMEVALUE(B3))*24,"")</f>
        <v/>
      </c>
      <c r="E3" s="13" t="inlineStr">
        <is>
          <t>Doctum</t>
        </is>
      </c>
      <c r="F3" s="13" t="inlineStr">
        <is>
          <t>1:1 vendedor X + ajustes</t>
        </is>
      </c>
      <c r="G3" s="8" t="inlineStr">
        <is>
          <t>Urgente</t>
        </is>
      </c>
      <c r="H3" s="8" t="inlineStr">
        <is>
          <t>Urgente</t>
        </is>
      </c>
    </row>
    <row r="4">
      <c r="A4" s="8" t="inlineStr">
        <is>
          <t>SEG</t>
        </is>
      </c>
      <c r="B4" s="8" t="inlineStr">
        <is>
          <t>18:30</t>
        </is>
      </c>
      <c r="C4" s="8" t="inlineStr">
        <is>
          <t>21:30</t>
        </is>
      </c>
      <c r="D4" s="8">
        <f>IFERROR((TIMEVALUE(C4)-TIMEVALUE(B4))*24,"")</f>
        <v/>
      </c>
      <c r="E4" s="13" t="inlineStr">
        <is>
          <t>Tribo</t>
        </is>
      </c>
      <c r="F4" s="13" t="inlineStr">
        <is>
          <t>🎤 Mentoria ao vivo - aula 04</t>
        </is>
      </c>
      <c r="G4" s="8" t="inlineStr">
        <is>
          <t>Importante</t>
        </is>
      </c>
      <c r="H4" s="8" t="inlineStr">
        <is>
          <t>Importante</t>
        </is>
      </c>
    </row>
    <row r="5">
      <c r="A5" s="8" t="inlineStr">
        <is>
          <t>TER</t>
        </is>
      </c>
      <c r="B5" s="8" t="inlineStr">
        <is>
          <t>08:00</t>
        </is>
      </c>
      <c r="C5" s="8" t="inlineStr">
        <is>
          <t>12:00</t>
        </is>
      </c>
      <c r="D5" s="8">
        <f>IFERROR((TIMEVALUE(C5)-TIMEVALUE(B5))*24,"")</f>
        <v/>
      </c>
      <c r="E5" s="13" t="inlineStr">
        <is>
          <t>Doctum</t>
        </is>
      </c>
      <c r="F5" s="13" t="inlineStr">
        <is>
          <t>Reunião comitê + revisar metas</t>
        </is>
      </c>
      <c r="G5" s="8" t="inlineStr">
        <is>
          <t>Importante</t>
        </is>
      </c>
      <c r="H5" s="8" t="inlineStr">
        <is>
          <t>Urgente</t>
        </is>
      </c>
    </row>
    <row r="6">
      <c r="A6" s="8" t="inlineStr">
        <is>
          <t>TER</t>
        </is>
      </c>
      <c r="B6" s="8" t="inlineStr">
        <is>
          <t>13:30</t>
        </is>
      </c>
      <c r="C6" s="8" t="inlineStr">
        <is>
          <t>14:00</t>
        </is>
      </c>
      <c r="D6" s="8">
        <f>IFERROR((TIMEVALUE(C6)-TIMEVALUE(B6))*24,"")</f>
        <v/>
      </c>
      <c r="E6" s="13" t="inlineStr">
        <is>
          <t>Dra. Bruna</t>
        </is>
      </c>
      <c r="F6" s="13" t="inlineStr">
        <is>
          <t>Status semanal Dra. Bruna</t>
        </is>
      </c>
      <c r="G6" s="8" t="inlineStr">
        <is>
          <t>Disperso</t>
        </is>
      </c>
      <c r="H6" s="8" t="inlineStr">
        <is>
          <t>Disperso</t>
        </is>
      </c>
    </row>
    <row r="7">
      <c r="A7" s="8" t="inlineStr">
        <is>
          <t>TER</t>
        </is>
      </c>
      <c r="B7" s="8" t="inlineStr">
        <is>
          <t>14:00</t>
        </is>
      </c>
      <c r="C7" s="8" t="inlineStr">
        <is>
          <t>14:30</t>
        </is>
      </c>
      <c r="D7" s="8">
        <f>IFERROR((TIMEVALUE(C7)-TIMEVALUE(B7))*24,"")</f>
        <v/>
      </c>
      <c r="E7" s="13" t="inlineStr">
        <is>
          <t>CuidaJA</t>
        </is>
      </c>
      <c r="F7" s="13" t="inlineStr">
        <is>
          <t>Status CuidaJA</t>
        </is>
      </c>
      <c r="G7" s="8" t="inlineStr">
        <is>
          <t>Disperso</t>
        </is>
      </c>
      <c r="H7" s="8" t="inlineStr">
        <is>
          <t>Disperso</t>
        </is>
      </c>
    </row>
    <row r="8">
      <c r="A8" s="8" t="inlineStr">
        <is>
          <t>TER</t>
        </is>
      </c>
      <c r="B8" s="8" t="inlineStr">
        <is>
          <t>14:30</t>
        </is>
      </c>
      <c r="C8" s="8" t="inlineStr">
        <is>
          <t>17:00</t>
        </is>
      </c>
      <c r="D8" s="8">
        <f>IFERROR((TIMEVALUE(C8)-TIMEVALUE(B8))*24,"")</f>
        <v/>
      </c>
      <c r="E8" s="13" t="inlineStr">
        <is>
          <t>Tribo</t>
        </is>
      </c>
      <c r="F8" s="13" t="inlineStr">
        <is>
          <t>Gravar aula 05 mentoria</t>
        </is>
      </c>
      <c r="G8" s="8" t="inlineStr">
        <is>
          <t>Importante</t>
        </is>
      </c>
      <c r="H8" s="8" t="inlineStr">
        <is>
          <t>Importante</t>
        </is>
      </c>
    </row>
    <row r="9">
      <c r="A9" s="8" t="inlineStr">
        <is>
          <t>TER</t>
        </is>
      </c>
      <c r="B9" s="8" t="inlineStr">
        <is>
          <t>17:00</t>
        </is>
      </c>
      <c r="C9" s="8" t="inlineStr">
        <is>
          <t>19:00</t>
        </is>
      </c>
      <c r="D9" s="8">
        <f>IFERROR((TIMEVALUE(C9)-TIMEVALUE(B9))*24,"")</f>
        <v/>
      </c>
      <c r="E9" s="13" t="inlineStr">
        <is>
          <t>Doctum</t>
        </is>
      </c>
      <c r="F9" s="13" t="inlineStr">
        <is>
          <t>Email + alinhamentos</t>
        </is>
      </c>
      <c r="G9" s="8" t="inlineStr">
        <is>
          <t>Disperso</t>
        </is>
      </c>
      <c r="H9" s="8" t="inlineStr">
        <is>
          <t>Disperso</t>
        </is>
      </c>
    </row>
    <row r="10">
      <c r="A10" s="8" t="inlineStr">
        <is>
          <t>QUA</t>
        </is>
      </c>
      <c r="B10" s="8" t="inlineStr">
        <is>
          <t>08:00</t>
        </is>
      </c>
      <c r="C10" s="8" t="inlineStr">
        <is>
          <t>12:00</t>
        </is>
      </c>
      <c r="D10" s="8">
        <f>IFERROR((TIMEVALUE(C10)-TIMEVALUE(B10))*24,"")</f>
        <v/>
      </c>
      <c r="E10" s="13" t="inlineStr">
        <is>
          <t>Doctum</t>
        </is>
      </c>
      <c r="F10" s="13" t="inlineStr">
        <is>
          <t>Reuniões com clientes + forecast</t>
        </is>
      </c>
      <c r="G10" s="8" t="inlineStr">
        <is>
          <t>Importante</t>
        </is>
      </c>
      <c r="H10" s="8" t="inlineStr">
        <is>
          <t>Urgente</t>
        </is>
      </c>
    </row>
    <row r="11">
      <c r="A11" s="8" t="inlineStr">
        <is>
          <t>QUA</t>
        </is>
      </c>
      <c r="B11" s="8" t="inlineStr">
        <is>
          <t>13:30</t>
        </is>
      </c>
      <c r="C11" s="8" t="inlineStr">
        <is>
          <t>14:00</t>
        </is>
      </c>
      <c r="D11" s="8">
        <f>IFERROR((TIMEVALUE(C11)-TIMEVALUE(B11))*24,"")</f>
        <v/>
      </c>
      <c r="E11" s="13" t="inlineStr">
        <is>
          <t>Dra. Bruna</t>
        </is>
      </c>
      <c r="F11" s="13" t="inlineStr">
        <is>
          <t>Revisar material aula Dra. Bruna</t>
        </is>
      </c>
      <c r="G11" s="8" t="inlineStr">
        <is>
          <t>Importante</t>
        </is>
      </c>
      <c r="H11" s="8" t="inlineStr">
        <is>
          <t>Importante</t>
        </is>
      </c>
    </row>
    <row r="12">
      <c r="A12" s="8" t="inlineStr">
        <is>
          <t>QUA</t>
        </is>
      </c>
      <c r="B12" s="8" t="inlineStr">
        <is>
          <t>14:00</t>
        </is>
      </c>
      <c r="C12" s="8" t="inlineStr">
        <is>
          <t>14:30</t>
        </is>
      </c>
      <c r="D12" s="8">
        <f>IFERROR((TIMEVALUE(C12)-TIMEVALUE(B12))*24,"")</f>
        <v/>
      </c>
      <c r="E12" s="13" t="inlineStr">
        <is>
          <t>CuidaJA</t>
        </is>
      </c>
      <c r="F12" s="13" t="inlineStr">
        <is>
          <t>CuidaJA - mensagens / alinhamento</t>
        </is>
      </c>
      <c r="G12" s="8" t="inlineStr">
        <is>
          <t>Disperso</t>
        </is>
      </c>
      <c r="H12" s="8" t="inlineStr">
        <is>
          <t>Disperso</t>
        </is>
      </c>
    </row>
    <row r="13">
      <c r="A13" s="8" t="inlineStr">
        <is>
          <t>QUA</t>
        </is>
      </c>
      <c r="B13" s="8" t="inlineStr">
        <is>
          <t>14:30</t>
        </is>
      </c>
      <c r="C13" s="8" t="inlineStr">
        <is>
          <t>17:00</t>
        </is>
      </c>
      <c r="D13" s="8">
        <f>IFERROR((TIMEVALUE(C13)-TIMEVALUE(B13))*24,"")</f>
        <v/>
      </c>
      <c r="E13" s="13" t="inlineStr">
        <is>
          <t>Tribo</t>
        </is>
      </c>
      <c r="F13" s="13" t="inlineStr">
        <is>
          <t>TriboCRM - revisar funcionalidades</t>
        </is>
      </c>
      <c r="G13" s="8" t="inlineStr">
        <is>
          <t>Importante</t>
        </is>
      </c>
      <c r="H13" s="8" t="inlineStr">
        <is>
          <t>Importante</t>
        </is>
      </c>
    </row>
    <row r="14">
      <c r="A14" s="8" t="inlineStr">
        <is>
          <t>QUA</t>
        </is>
      </c>
      <c r="B14" s="8" t="inlineStr">
        <is>
          <t>17:00</t>
        </is>
      </c>
      <c r="C14" s="8" t="inlineStr">
        <is>
          <t>19:00</t>
        </is>
      </c>
      <c r="D14" s="8">
        <f>IFERROR((TIMEVALUE(C14)-TIMEVALUE(B14))*24,"")</f>
        <v/>
      </c>
      <c r="E14" s="13" t="inlineStr">
        <is>
          <t>Doctum</t>
        </is>
      </c>
      <c r="F14" s="13" t="inlineStr">
        <is>
          <t>Doctum - administrativo</t>
        </is>
      </c>
      <c r="G14" s="8" t="inlineStr">
        <is>
          <t>Disperso</t>
        </is>
      </c>
      <c r="H14" s="8" t="inlineStr">
        <is>
          <t>Disperso</t>
        </is>
      </c>
    </row>
    <row r="15">
      <c r="A15" s="8" t="inlineStr">
        <is>
          <t>QUI</t>
        </is>
      </c>
      <c r="B15" s="8" t="inlineStr">
        <is>
          <t>08:00</t>
        </is>
      </c>
      <c r="C15" s="8" t="inlineStr">
        <is>
          <t>12:00</t>
        </is>
      </c>
      <c r="D15" s="8">
        <f>IFERROR((TIMEVALUE(C15)-TIMEVALUE(B15))*24,"")</f>
        <v/>
      </c>
      <c r="E15" s="13" t="inlineStr">
        <is>
          <t>Doctum</t>
        </is>
      </c>
      <c r="F15" s="13" t="inlineStr">
        <is>
          <t>Workshop com time de vendas</t>
        </is>
      </c>
      <c r="G15" s="8" t="inlineStr">
        <is>
          <t>Importante</t>
        </is>
      </c>
      <c r="H15" s="8" t="inlineStr">
        <is>
          <t>Importante</t>
        </is>
      </c>
    </row>
    <row r="16">
      <c r="A16" s="8" t="inlineStr">
        <is>
          <t>QUI</t>
        </is>
      </c>
      <c r="B16" s="8" t="inlineStr">
        <is>
          <t>13:30</t>
        </is>
      </c>
      <c r="C16" s="8" t="inlineStr">
        <is>
          <t>17:30</t>
        </is>
      </c>
      <c r="D16" s="8">
        <f>IFERROR((TIMEVALUE(C16)-TIMEVALUE(B16))*24,"")</f>
        <v/>
      </c>
      <c r="E16" s="13" t="inlineStr">
        <is>
          <t>Doctum</t>
        </is>
      </c>
      <c r="F16" s="13" t="inlineStr">
        <is>
          <t>Reuniões 1:1 + planejamento</t>
        </is>
      </c>
      <c r="G16" s="8" t="inlineStr">
        <is>
          <t>Importante</t>
        </is>
      </c>
      <c r="H16" s="8" t="inlineStr">
        <is>
          <t>Urgente</t>
        </is>
      </c>
    </row>
    <row r="17">
      <c r="A17" s="8" t="inlineStr">
        <is>
          <t>QUI</t>
        </is>
      </c>
      <c r="B17" s="8" t="inlineStr">
        <is>
          <t>18:00</t>
        </is>
      </c>
      <c r="C17" s="8" t="inlineStr">
        <is>
          <t>21:00</t>
        </is>
      </c>
      <c r="D17" s="8">
        <f>IFERROR((TIMEVALUE(C17)-TIMEVALUE(B17))*24,"")</f>
        <v/>
      </c>
      <c r="E17" s="13" t="inlineStr">
        <is>
          <t>Tribo</t>
        </is>
      </c>
      <c r="F17" s="13" t="inlineStr">
        <is>
          <t>📺 Live Tribo</t>
        </is>
      </c>
      <c r="G17" s="8" t="inlineStr">
        <is>
          <t>Importante</t>
        </is>
      </c>
      <c r="H17" s="8" t="inlineStr">
        <is>
          <t>Importante</t>
        </is>
      </c>
    </row>
    <row r="18">
      <c r="A18" s="8" t="inlineStr">
        <is>
          <t>SEX</t>
        </is>
      </c>
      <c r="B18" s="8" t="inlineStr">
        <is>
          <t>08:00</t>
        </is>
      </c>
      <c r="C18" s="8" t="inlineStr">
        <is>
          <t>12:00</t>
        </is>
      </c>
      <c r="D18" s="8">
        <f>IFERROR((TIMEVALUE(C18)-TIMEVALUE(B18))*24,"")</f>
        <v/>
      </c>
      <c r="E18" s="13" t="inlineStr">
        <is>
          <t>Doctum</t>
        </is>
      </c>
      <c r="F18" s="13" t="inlineStr">
        <is>
          <t>Fechamento semana + relatórios</t>
        </is>
      </c>
      <c r="G18" s="8" t="inlineStr">
        <is>
          <t>Importante</t>
        </is>
      </c>
      <c r="H18" s="8" t="inlineStr">
        <is>
          <t>Urgente</t>
        </is>
      </c>
    </row>
    <row r="19">
      <c r="A19" s="8" t="inlineStr">
        <is>
          <t>SEX</t>
        </is>
      </c>
      <c r="B19" s="8" t="inlineStr">
        <is>
          <t>13:30</t>
        </is>
      </c>
      <c r="C19" s="8" t="inlineStr">
        <is>
          <t>14:30</t>
        </is>
      </c>
      <c r="D19" s="8">
        <f>IFERROR((TIMEVALUE(C19)-TIMEVALUE(B19))*24,"")</f>
        <v/>
      </c>
      <c r="E19" s="13" t="inlineStr">
        <is>
          <t>Dra. Bruna</t>
        </is>
      </c>
      <c r="F19" s="13" t="inlineStr">
        <is>
          <t>Reunião Dra. Bruna - revisão semana</t>
        </is>
      </c>
      <c r="G19" s="8" t="inlineStr">
        <is>
          <t>Importante</t>
        </is>
      </c>
      <c r="H19" s="8" t="inlineStr">
        <is>
          <t>Importante</t>
        </is>
      </c>
    </row>
    <row r="20">
      <c r="A20" s="8" t="inlineStr">
        <is>
          <t>SEX</t>
        </is>
      </c>
      <c r="B20" s="8" t="inlineStr">
        <is>
          <t>14:30</t>
        </is>
      </c>
      <c r="C20" s="8" t="inlineStr">
        <is>
          <t>15:30</t>
        </is>
      </c>
      <c r="D20" s="8">
        <f>IFERROR((TIMEVALUE(C20)-TIMEVALUE(B20))*24,"")</f>
        <v/>
      </c>
      <c r="E20" s="13" t="inlineStr">
        <is>
          <t>CuidaJA</t>
        </is>
      </c>
      <c r="F20" s="13" t="inlineStr">
        <is>
          <t>Reunião CuidaJA - revisão semana</t>
        </is>
      </c>
      <c r="G20" s="8" t="inlineStr">
        <is>
          <t>Importante</t>
        </is>
      </c>
      <c r="H20" s="8" t="inlineStr">
        <is>
          <t>Importante</t>
        </is>
      </c>
    </row>
    <row r="21">
      <c r="A21" s="8" t="inlineStr">
        <is>
          <t>SEX</t>
        </is>
      </c>
      <c r="B21" s="8" t="inlineStr">
        <is>
          <t>15:30</t>
        </is>
      </c>
      <c r="C21" s="8" t="inlineStr">
        <is>
          <t>19:00</t>
        </is>
      </c>
      <c r="D21" s="8">
        <f>IFERROR((TIMEVALUE(C21)-TIMEVALUE(B21))*24,"")</f>
        <v/>
      </c>
      <c r="E21" s="13" t="inlineStr">
        <is>
          <t>Doctum</t>
        </is>
      </c>
      <c r="F21" s="13" t="inlineStr">
        <is>
          <t>Doctum - fechamento + emails</t>
        </is>
      </c>
      <c r="G21" s="8" t="inlineStr">
        <is>
          <t>Urgente</t>
        </is>
      </c>
      <c r="H21" s="8" t="inlineStr">
        <is>
          <t>Urgente</t>
        </is>
      </c>
    </row>
    <row r="22">
      <c r="A22" s="8" t="inlineStr">
        <is>
          <t>SÁB</t>
        </is>
      </c>
      <c r="B22" s="8" t="inlineStr">
        <is>
          <t>08:00</t>
        </is>
      </c>
      <c r="C22" s="8" t="inlineStr">
        <is>
          <t>13:00</t>
        </is>
      </c>
      <c r="D22" s="8">
        <f>IFERROR((TIMEVALUE(C22)-TIMEVALUE(B22))*24,"")</f>
        <v/>
      </c>
      <c r="E22" s="13" t="inlineStr">
        <is>
          <t>Tribo</t>
        </is>
      </c>
      <c r="F22" s="13" t="inlineStr">
        <is>
          <t>Tribo - estratégia + produto</t>
        </is>
      </c>
      <c r="G22" s="8" t="inlineStr">
        <is>
          <t>Importante</t>
        </is>
      </c>
      <c r="H22" s="8" t="inlineStr">
        <is>
          <t>Importante</t>
        </is>
      </c>
    </row>
    <row r="23">
      <c r="A23" s="8" t="inlineStr">
        <is>
          <t>SÁB</t>
        </is>
      </c>
      <c r="B23" s="8" t="inlineStr">
        <is>
          <t>13:00</t>
        </is>
      </c>
      <c r="C23" s="8" t="inlineStr">
        <is>
          <t>13:30</t>
        </is>
      </c>
      <c r="D23" s="8">
        <f>IFERROR((TIMEVALUE(C23)-TIMEVALUE(B23))*24,"")</f>
        <v/>
      </c>
      <c r="E23" s="13" t="inlineStr">
        <is>
          <t>Dra. Bruna</t>
        </is>
      </c>
      <c r="F23" s="13" t="inlineStr">
        <is>
          <t>Bruna - preparar semana</t>
        </is>
      </c>
      <c r="G23" s="8" t="inlineStr">
        <is>
          <t>Importante</t>
        </is>
      </c>
      <c r="H23" s="8" t="inlineStr">
        <is>
          <t>Importante</t>
        </is>
      </c>
    </row>
    <row r="24">
      <c r="A24" s="8" t="inlineStr">
        <is>
          <t>SÁB</t>
        </is>
      </c>
      <c r="B24" s="8" t="inlineStr">
        <is>
          <t>13:30</t>
        </is>
      </c>
      <c r="C24" s="8" t="inlineStr">
        <is>
          <t>14:00</t>
        </is>
      </c>
      <c r="D24" s="8">
        <f>IFERROR((TIMEVALUE(C24)-TIMEVALUE(B24))*24,"")</f>
        <v/>
      </c>
      <c r="E24" s="13" t="inlineStr">
        <is>
          <t>CuidaJA</t>
        </is>
      </c>
      <c r="F24" s="13" t="inlineStr">
        <is>
          <t>CuidaJA - preparar semana</t>
        </is>
      </c>
      <c r="G24" s="8" t="inlineStr">
        <is>
          <t>Importante</t>
        </is>
      </c>
      <c r="H24" s="8" t="inlineStr">
        <is>
          <t>Importante</t>
        </is>
      </c>
    </row>
    <row r="25">
      <c r="A25" s="8" t="inlineStr">
        <is>
          <t>SÁB</t>
        </is>
      </c>
      <c r="B25" s="8" t="inlineStr">
        <is>
          <t>14:00</t>
        </is>
      </c>
      <c r="C25" s="8" t="inlineStr">
        <is>
          <t>16:00</t>
        </is>
      </c>
      <c r="D25" s="8">
        <f>IFERROR((TIMEVALUE(C25)-TIMEVALUE(B25))*24,"")</f>
        <v/>
      </c>
      <c r="E25" s="13" t="inlineStr">
        <is>
          <t>Tribo</t>
        </is>
      </c>
      <c r="F25" s="13" t="inlineStr">
        <is>
          <t>Tribo - conteúdo / produto</t>
        </is>
      </c>
      <c r="G25" s="8" t="inlineStr">
        <is>
          <t>Importante</t>
        </is>
      </c>
      <c r="H25" s="8" t="inlineStr">
        <is>
          <t>Importante</t>
        </is>
      </c>
    </row>
  </sheetData>
  <conditionalFormatting sqref="G2:G200">
    <cfRule type="expression" priority="1" dxfId="0">
      <formula>EXACT($G2,"Importante")</formula>
    </cfRule>
    <cfRule type="expression" priority="2" dxfId="1">
      <formula>EXACT($G2,"Urgente")</formula>
    </cfRule>
    <cfRule type="expression" priority="3" dxfId="2">
      <formula>EXACT($G2,"Disperso")</formula>
    </cfRule>
  </conditionalFormatting>
  <conditionalFormatting sqref="H2:H200">
    <cfRule type="expression" priority="4" dxfId="0">
      <formula>EXACT($H2,"Importante")</formula>
    </cfRule>
    <cfRule type="expression" priority="5" dxfId="1">
      <formula>EXACT($H2,"Urgente")</formula>
    </cfRule>
    <cfRule type="expression" priority="6" dxfId="2">
      <formula>EXACT($H2,"Disperso")</formula>
    </cfRule>
  </conditionalFormatting>
  <conditionalFormatting sqref="E2:E200">
    <cfRule type="expression" priority="7" dxfId="3">
      <formula>EXACT($E2,"Doctum")</formula>
    </cfRule>
    <cfRule type="expression" priority="8" dxfId="4">
      <formula>EXACT($E2,"Tribo")</formula>
    </cfRule>
    <cfRule type="expression" priority="9" dxfId="5">
      <formula>EXACT($E2,"Dra. Bruna")</formula>
    </cfRule>
    <cfRule type="expression" priority="10" dxfId="6">
      <formula>EXACT($E2,"CuidaJA")</formula>
    </cfRule>
  </conditionalFormatting>
  <dataValidations count="3">
    <dataValidation sqref="A2:A200" showDropDown="0" showInputMessage="0" showErrorMessage="0" allowBlank="1" type="list">
      <formula1>"SEG,TER,QUA,QUI,SEX,SÁB,DOM"</formula1>
    </dataValidation>
    <dataValidation sqref="E2:E200" showDropDown="0" showInputMessage="0" showErrorMessage="0" allowBlank="1" type="list">
      <formula1>=Frentes!$A$2:$A$50</formula1>
    </dataValidation>
    <dataValidation sqref="G2:G200 H2:H200" showDropDown="0" showInputMessage="0" showErrorMessage="0" allowBlank="1" type="list">
      <formula1>"Importante,Urgente,Disperso"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 ht="32" customHeight="1">
      <c r="A1" s="14" t="inlineStr">
        <is>
          <t>📊 O Espelho — Matriz Frente × Categoria (Realizado)</t>
        </is>
      </c>
    </row>
    <row r="3">
      <c r="A3" s="15" t="inlineStr"/>
      <c r="B3" s="16" t="inlineStr">
        <is>
          <t>🏢 Doctum</t>
        </is>
      </c>
      <c r="C3" s="17" t="inlineStr">
        <is>
          <t>🛒 Tribo</t>
        </is>
      </c>
      <c r="D3" s="18" t="inlineStr">
        <is>
          <t>🎓 Dra. Bruna</t>
        </is>
      </c>
      <c r="E3" s="19" t="inlineStr">
        <is>
          <t>🤝 CuidaJA</t>
        </is>
      </c>
      <c r="F3" s="20" t="inlineStr">
        <is>
          <t>Total</t>
        </is>
      </c>
    </row>
    <row r="4">
      <c r="A4" s="21" t="inlineStr">
        <is>
          <t>🎯 Importante</t>
        </is>
      </c>
      <c r="B4" s="22">
        <f>SUMIFS(Blocos!D:D,Blocos!E:E,"Doctum",Blocos!H:H,"Importante")</f>
        <v/>
      </c>
      <c r="C4" s="22">
        <f>SUMIFS(Blocos!D:D,Blocos!E:E,"Tribo",Blocos!H:H,"Importante")</f>
        <v/>
      </c>
      <c r="D4" s="22">
        <f>SUMIFS(Blocos!D:D,Blocos!E:E,"Dra. Bruna",Blocos!H:H,"Importante")</f>
        <v/>
      </c>
      <c r="E4" s="22">
        <f>SUMIFS(Blocos!D:D,Blocos!E:E,"CuidaJA",Blocos!H:H,"Importante")</f>
        <v/>
      </c>
      <c r="F4" s="23">
        <f>SUM(B4:E4)</f>
        <v/>
      </c>
    </row>
    <row r="5">
      <c r="A5" s="24" t="inlineStr">
        <is>
          <t>🔥 Urgente</t>
        </is>
      </c>
      <c r="B5" s="22">
        <f>SUMIFS(Blocos!D:D,Blocos!E:E,"Doctum",Blocos!H:H,"Urgente")</f>
        <v/>
      </c>
      <c r="C5" s="22">
        <f>SUMIFS(Blocos!D:D,Blocos!E:E,"Tribo",Blocos!H:H,"Urgente")</f>
        <v/>
      </c>
      <c r="D5" s="22">
        <f>SUMIFS(Blocos!D:D,Blocos!E:E,"Dra. Bruna",Blocos!H:H,"Urgente")</f>
        <v/>
      </c>
      <c r="E5" s="22">
        <f>SUMIFS(Blocos!D:D,Blocos!E:E,"CuidaJA",Blocos!H:H,"Urgente")</f>
        <v/>
      </c>
      <c r="F5" s="23">
        <f>SUM(B5:E5)</f>
        <v/>
      </c>
    </row>
    <row r="6">
      <c r="A6" s="25" t="inlineStr">
        <is>
          <t>💨 Disperso</t>
        </is>
      </c>
      <c r="B6" s="22">
        <f>SUMIFS(Blocos!D:D,Blocos!E:E,"Doctum",Blocos!H:H,"Disperso")</f>
        <v/>
      </c>
      <c r="C6" s="22">
        <f>SUMIFS(Blocos!D:D,Blocos!E:E,"Tribo",Blocos!H:H,"Disperso")</f>
        <v/>
      </c>
      <c r="D6" s="22">
        <f>SUMIFS(Blocos!D:D,Blocos!E:E,"Dra. Bruna",Blocos!H:H,"Disperso")</f>
        <v/>
      </c>
      <c r="E6" s="22">
        <f>SUMIFS(Blocos!D:D,Blocos!E:E,"CuidaJA",Blocos!H:H,"Disperso")</f>
        <v/>
      </c>
      <c r="F6" s="23">
        <f>SUM(B6:E6)</f>
        <v/>
      </c>
    </row>
    <row r="7">
      <c r="A7" s="20" t="inlineStr">
        <is>
          <t>Total</t>
        </is>
      </c>
      <c r="B7" s="23">
        <f>SUM(B4:B6)</f>
        <v/>
      </c>
      <c r="C7" s="23">
        <f>SUM(C4:C6)</f>
        <v/>
      </c>
      <c r="D7" s="23">
        <f>SUM(D4:D6)</f>
        <v/>
      </c>
      <c r="E7" s="23">
        <f>SUM(E4:E6)</f>
        <v/>
      </c>
      <c r="F7" s="26">
        <f>SUM(B7:E7)</f>
        <v/>
      </c>
    </row>
    <row r="9">
      <c r="A9" s="27" t="inlineStr">
        <is>
          <t>Planejado vs Realizado (% da semana)</t>
        </is>
      </c>
    </row>
    <row r="10" ht="24" customHeight="1">
      <c r="A10" s="6" t="inlineStr">
        <is>
          <t>Categoria</t>
        </is>
      </c>
      <c r="B10" s="6" t="inlineStr">
        <is>
          <t>Planejado %</t>
        </is>
      </c>
      <c r="C10" s="6" t="inlineStr">
        <is>
          <t>Realizado %</t>
        </is>
      </c>
      <c r="D10" s="6" t="inlineStr">
        <is>
          <t>Variação</t>
        </is>
      </c>
      <c r="E10" s="6" t="inlineStr">
        <is>
          <t>Avaliação</t>
        </is>
      </c>
    </row>
    <row r="11">
      <c r="A11" s="21" t="inlineStr">
        <is>
          <t>🎯 Importante</t>
        </is>
      </c>
      <c r="B11" s="28">
        <f>IFERROR(SUMIF(Blocos!G:G,"Importante",Blocos!D:D)/SUM(Blocos!D:D),0)</f>
        <v/>
      </c>
      <c r="C11" s="28">
        <f>IFERROR(SUMIF(Blocos!H:H,"Importante",Blocos!D:D)/SUM(Blocos!D:D),0)</f>
        <v/>
      </c>
      <c r="D11" s="29">
        <f>C11-B11</f>
        <v/>
      </c>
      <c r="E11" s="30">
        <f>IF(D11&gt;=0.05,"⬆ Bom sinal",IF(D11&lt;=-0.05,"⬇ Atenção","✓ No plano"))</f>
        <v/>
      </c>
    </row>
    <row r="12">
      <c r="A12" s="24" t="inlineStr">
        <is>
          <t>🔥 Urgente</t>
        </is>
      </c>
      <c r="B12" s="28">
        <f>IFERROR(SUMIF(Blocos!G:G,"Urgente",Blocos!D:D)/SUM(Blocos!D:D),0)</f>
        <v/>
      </c>
      <c r="C12" s="28">
        <f>IFERROR(SUMIF(Blocos!H:H,"Urgente",Blocos!D:D)/SUM(Blocos!D:D),0)</f>
        <v/>
      </c>
      <c r="D12" s="29">
        <f>C12-B12</f>
        <v/>
      </c>
      <c r="E12" s="30">
        <f>IF(D12&lt;=-0.05,"⬇ Bom sinal",IF(D12&gt;=0.05,"⬆ Atenção","✓ No plano"))</f>
        <v/>
      </c>
    </row>
    <row r="13">
      <c r="A13" s="25" t="inlineStr">
        <is>
          <t>💨 Disperso</t>
        </is>
      </c>
      <c r="B13" s="28">
        <f>IFERROR(SUMIF(Blocos!G:G,"Disperso",Blocos!D:D)/SUM(Blocos!D:D),0)</f>
        <v/>
      </c>
      <c r="C13" s="28">
        <f>IFERROR(SUMIF(Blocos!H:H,"Disperso",Blocos!D:D)/SUM(Blocos!D:D),0)</f>
        <v/>
      </c>
      <c r="D13" s="29">
        <f>C13-B13</f>
        <v/>
      </c>
      <c r="E13" s="30">
        <f>IF(D13&lt;=-0.05,"⬇ Bom sinal",IF(D13&gt;=0.05,"⬆ Atenção","✓ No plano"))</f>
        <v/>
      </c>
    </row>
    <row r="15">
      <c r="A15" s="27" t="inlineStr">
        <is>
          <t>Orçamento de horas por frente</t>
        </is>
      </c>
    </row>
    <row r="16" ht="24" customHeight="1">
      <c r="A16" s="20" t="inlineStr">
        <is>
          <t>Frente</t>
        </is>
      </c>
      <c r="B16" s="20" t="inlineStr">
        <is>
          <t>Orçamento</t>
        </is>
      </c>
      <c r="C16" s="20" t="inlineStr">
        <is>
          <t>Realizado</t>
        </is>
      </c>
      <c r="D16" s="20" t="inlineStr">
        <is>
          <t>Variação</t>
        </is>
      </c>
      <c r="E16" s="20" t="inlineStr">
        <is>
          <t>Status</t>
        </is>
      </c>
    </row>
    <row r="17">
      <c r="A17" s="16" t="inlineStr">
        <is>
          <t>🏢 Doctum</t>
        </is>
      </c>
      <c r="B17" s="22">
        <f>VLOOKUP(SUBSTITUTE(SUBSTITUTE(A17,"🏢 ",""),"",""),Frentes!A:C,3,FALSE)</f>
        <v/>
      </c>
      <c r="C17" s="22">
        <f>SUMIF(Blocos!E:E,"Doctum",Blocos!D:D)</f>
        <v/>
      </c>
      <c r="D17" s="31">
        <f>C17-B17</f>
        <v/>
      </c>
      <c r="E17" s="30">
        <f>IF(ABS(D17)&lt;1,"✓ no plano",IF(D17&gt;0,"⬆ estourou","⬇ abaixo"))</f>
        <v/>
      </c>
    </row>
    <row r="18">
      <c r="A18" s="17" t="inlineStr">
        <is>
          <t>🛒 Tribo</t>
        </is>
      </c>
      <c r="B18" s="22">
        <f>VLOOKUP(SUBSTITUTE(SUBSTITUTE(A18,"🛒 ",""),"",""),Frentes!A:C,3,FALSE)</f>
        <v/>
      </c>
      <c r="C18" s="22">
        <f>SUMIF(Blocos!E:E,"Tribo",Blocos!D:D)</f>
        <v/>
      </c>
      <c r="D18" s="31">
        <f>C18-B18</f>
        <v/>
      </c>
      <c r="E18" s="30">
        <f>IF(ABS(D18)&lt;1,"✓ no plano",IF(D18&gt;0,"⬆ estourou","⬇ abaixo"))</f>
        <v/>
      </c>
    </row>
    <row r="19">
      <c r="A19" s="18" t="inlineStr">
        <is>
          <t>🎓 Dra. Bruna</t>
        </is>
      </c>
      <c r="B19" s="22">
        <f>VLOOKUP(SUBSTITUTE(SUBSTITUTE(A19,"🎓 ",""),"",""),Frentes!A:C,3,FALSE)</f>
        <v/>
      </c>
      <c r="C19" s="22">
        <f>SUMIF(Blocos!E:E,"Dra. Bruna",Blocos!D:D)</f>
        <v/>
      </c>
      <c r="D19" s="31">
        <f>C19-B19</f>
        <v/>
      </c>
      <c r="E19" s="30">
        <f>IF(ABS(D19)&lt;1,"✓ no plano",IF(D19&gt;0,"⬆ estourou","⬇ abaixo"))</f>
        <v/>
      </c>
    </row>
    <row r="20">
      <c r="A20" s="19" t="inlineStr">
        <is>
          <t>🤝 CuidaJA</t>
        </is>
      </c>
      <c r="B20" s="22">
        <f>VLOOKUP(SUBSTITUTE(SUBSTITUTE(A20,"🤝 ",""),"",""),Frentes!A:C,3,FALSE)</f>
        <v/>
      </c>
      <c r="C20" s="22">
        <f>SUMIF(Blocos!E:E,"CuidaJA",Blocos!D:D)</f>
        <v/>
      </c>
      <c r="D20" s="31">
        <f>C20-B20</f>
        <v/>
      </c>
      <c r="E20" s="30">
        <f>IF(ABS(D20)&lt;1,"✓ no plano",IF(D20&gt;0,"⬆ estourou","⬇ abaixo"))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2" customHeight="1">
      <c r="A1" s="14" t="inlineStr">
        <is>
          <t>💬 Insights do Coach</t>
        </is>
      </c>
    </row>
    <row r="2" ht="22" customHeight="1">
      <c r="A2" s="32" t="inlineStr">
        <is>
          <t>Padrões detectados automaticamente · Recalcula ao mudar Blocos</t>
        </is>
      </c>
    </row>
    <row r="4" ht="24" customHeight="1">
      <c r="A4" s="20" t="inlineStr">
        <is>
          <t>Sinal</t>
        </is>
      </c>
      <c r="B4" s="20" t="inlineStr">
        <is>
          <t>Insight</t>
        </is>
      </c>
    </row>
    <row r="5" ht="48" customHeight="1">
      <c r="A5" s="33">
        <f>IF((SUMIF(Blocos!H:H,"Importante",Blocos!D:D)/SUM(Blocos!D:D))&gt;=0.5,"✅ Viveu em Importante","")</f>
        <v/>
      </c>
      <c r="B5" s="34">
        <f>IF((SUMIF(Blocos!H:H,"Importante",Blocos!D:D)/SUM(Blocos!D:D))&gt;=0.5,TEXT((SUMIF(Blocos!H:H,"Importante",Blocos!D:D)/SUM(Blocos!D:D)),"0%")&amp;" da semana foi Importante. Esse é o sinal de uma semana onde estratégia venceu reatividade. Mantenha o ritmo.","")</f>
        <v/>
      </c>
    </row>
    <row r="6" ht="48" customHeight="1">
      <c r="A6" s="33">
        <f>IF((SUMIF(Blocos!H:H,"Importante",Blocos!D:D)/SUM(Blocos!D:D))&lt;0.3,"⚠️ Pouco Importante","")</f>
        <v/>
      </c>
      <c r="B6" s="34">
        <f>IF((SUMIF(Blocos!H:H,"Importante",Blocos!D:D)/SUM(Blocos!D:D))&lt;0.3,"Apenas "&amp;TEXT((SUMIF(Blocos!H:H,"Importante",Blocos!D:D)/SUM(Blocos!D:D)),"0%")&amp;" da semana foi Importante. Sua estratégia está perdendo pra urgência alheia. Vale revisar o que está protegendo deep work.","")</f>
        <v/>
      </c>
    </row>
    <row r="7" ht="48" customHeight="1">
      <c r="A7" s="33">
        <f>IF((SUMIF(Blocos!H:H,"Urgente",Blocos!D:D)/SUM(Blocos!D:D))&gt;=0.5,"🔥 Bombeiro","")</f>
        <v/>
      </c>
      <c r="B7" s="34">
        <f>IF((SUMIF(Blocos!H:H,"Urgente",Blocos!D:D)/SUM(Blocos!D:D))&gt;=0.5,TEXT((SUMIF(Blocos!H:H,"Urgente",Blocos!D:D)/SUM(Blocos!D:D)),"0%")&amp;" Urgente. Você está reagindo, não decidindo. Olhe quais frentes mais consumiram Urgente — provavelmente dá pra delegar ou redesenhar pipeline.","")</f>
        <v/>
      </c>
    </row>
    <row r="8" ht="48" customHeight="1">
      <c r="A8" s="33">
        <f>IF((SUMIF(Blocos!H:H,"Disperso",Blocos!D:D)/SUM(Blocos!D:D))&gt;=0.2,"💨 Atenção","")</f>
        <v/>
      </c>
      <c r="B8" s="34">
        <f>IF((SUMIF(Blocos!H:H,"Disperso",Blocos!D:D)/SUM(Blocos!D:D))&gt;=0.2,TEXT((SUMIF(Blocos!H:H,"Disperso",Blocos!D:D)/SUM(Blocos!D:D)),"0%")&amp;" Disperso = "&amp;TEXT(SUMIF(Blocos!H:H,"Disperso",Blocos!D:D),"0.0")&amp;"h de coisa que pareceu trabalho mas não gerou resultado. Vale cortar reuniões/mensagens sem propósito.","")</f>
        <v/>
      </c>
    </row>
    <row r="9" ht="48" customHeight="1">
      <c r="A9" s="33">
        <f>IF((SUMIF(Blocos!H:H,"Disperso",Blocos!D:D)/SUM(Blocos!D:D))&lt;0.1,"🎯 Foco","")</f>
        <v/>
      </c>
      <c r="B9" s="34">
        <f>IF((SUMIF(Blocos!H:H,"Disperso",Blocos!D:D)/SUM(Blocos!D:D))&lt;0.1,"Apenas "&amp;TEXT((SUMIF(Blocos!H:H,"Disperso",Blocos!D:D)/SUM(Blocos!D:D)),"0%")&amp;" Disperso — você tá protegendo bem o tempo de coisa que não rende.","")</f>
        <v/>
      </c>
    </row>
    <row r="10">
      <c r="A10" s="35" t="inlineStr">
        <is>
          <t>Por frente</t>
        </is>
      </c>
    </row>
    <row r="11" ht="48" customHeight="1">
      <c r="A11" s="33">
        <f>IF(SUMIF(Blocos!E:E,"Doctum",Blocos!D:D)=0,"",IF((SUMIFS(Blocos!D:D,Blocos!E:E,"Doctum",Blocos!H:H,"Urgente")/SUMIF(Blocos!E:E,"Doctum",Blocos!D:D))&gt;=0.6,"⚠️ Bombeiro",IF((SUMIFS(Blocos!D:D,Blocos!E:E,"Doctum",Blocos!H:H,"Importante")/SUMIF(Blocos!E:E,"Doctum",Blocos!D:D))&gt;=0.7,"🎯 Protegida","")))</f>
        <v/>
      </c>
      <c r="B11" s="34">
        <f>IF(SUMIF(Blocos!E:E,"Doctum",Blocos!D:D)=0,"Sem horas em 🏢 Doctum esta semana.",IF((SUMIFS(Blocos!D:D,Blocos!E:E,"Doctum",Blocos!H:H,"Urgente")/SUMIF(Blocos!E:E,"Doctum",Blocos!D:D))&gt;=0.6,"🏢 Doctum: "&amp;TEXT(SUMIFS(Blocos!D:D,Blocos!E:E,"Doctum",Blocos!H:H,"Urgente")/SUMIF(Blocos!E:E,"Doctum",Blocos!D:D),"0%")&amp;" Urgente. Vale pensar em delegar, redesenhar pipeline de demanda ou aceitar conscientemente que essa é sua frente reativa.",IF((SUMIFS(Blocos!D:D,Blocos!E:E,"Doctum",Blocos!H:H,"Importante")/SUMIF(Blocos!E:E,"Doctum",Blocos!D:D))&gt;=0.7,"🏢 Doctum: "&amp;TEXT(SUMIFS(Blocos!D:D,Blocos!E:E,"Doctum",Blocos!H:H,"Importante")/SUMIF(Blocos!E:E,"Doctum",Blocos!D:D),"0%")&amp;" Importante. Você está investindo bem nessa frente — onde provavelmente está seu maior ROI estratégico.","🏢 Doctum: equilibrada ("&amp;TEXT(SUMIFS(Blocos!D:D,Blocos!E:E,"Doctum",Blocos!H:H,"Importante")/SUMIF(Blocos!E:E,"Doctum",Blocos!D:D),"0%")&amp;" Imp / "&amp;TEXT(SUMIFS(Blocos!D:D,Blocos!E:E,"Doctum",Blocos!H:H,"Urgente")/SUMIF(Blocos!E:E,"Doctum",Blocos!D:D),"0%")&amp;" Urg).")))</f>
        <v/>
      </c>
    </row>
    <row r="12" ht="48" customHeight="1">
      <c r="A12" s="33">
        <f>IF(SUMIF(Blocos!E:E,"Tribo",Blocos!D:D)=0,"",IF((SUMIFS(Blocos!D:D,Blocos!E:E,"Tribo",Blocos!H:H,"Urgente")/SUMIF(Blocos!E:E,"Tribo",Blocos!D:D))&gt;=0.6,"⚠️ Bombeiro",IF((SUMIFS(Blocos!D:D,Blocos!E:E,"Tribo",Blocos!H:H,"Importante")/SUMIF(Blocos!E:E,"Tribo",Blocos!D:D))&gt;=0.7,"🎯 Protegida","")))</f>
        <v/>
      </c>
      <c r="B12" s="34">
        <f>IF(SUMIF(Blocos!E:E,"Tribo",Blocos!D:D)=0,"Sem horas em 🛒 Tribo esta semana.",IF((SUMIFS(Blocos!D:D,Blocos!E:E,"Tribo",Blocos!H:H,"Urgente")/SUMIF(Blocos!E:E,"Tribo",Blocos!D:D))&gt;=0.6,"🛒 Tribo: "&amp;TEXT(SUMIFS(Blocos!D:D,Blocos!E:E,"Tribo",Blocos!H:H,"Urgente")/SUMIF(Blocos!E:E,"Tribo",Blocos!D:D),"0%")&amp;" Urgente. Vale pensar em delegar, redesenhar pipeline de demanda ou aceitar conscientemente que essa é sua frente reativa.",IF((SUMIFS(Blocos!D:D,Blocos!E:E,"Tribo",Blocos!H:H,"Importante")/SUMIF(Blocos!E:E,"Tribo",Blocos!D:D))&gt;=0.7,"🛒 Tribo: "&amp;TEXT(SUMIFS(Blocos!D:D,Blocos!E:E,"Tribo",Blocos!H:H,"Importante")/SUMIF(Blocos!E:E,"Tribo",Blocos!D:D),"0%")&amp;" Importante. Você está investindo bem nessa frente — onde provavelmente está seu maior ROI estratégico.","🛒 Tribo: equilibrada ("&amp;TEXT(SUMIFS(Blocos!D:D,Blocos!E:E,"Tribo",Blocos!H:H,"Importante")/SUMIF(Blocos!E:E,"Tribo",Blocos!D:D),"0%")&amp;" Imp / "&amp;TEXT(SUMIFS(Blocos!D:D,Blocos!E:E,"Tribo",Blocos!H:H,"Urgente")/SUMIF(Blocos!E:E,"Tribo",Blocos!D:D),"0%")&amp;" Urg).")))</f>
        <v/>
      </c>
    </row>
    <row r="13" ht="48" customHeight="1">
      <c r="A13" s="33">
        <f>IF(SUMIF(Blocos!E:E,"Dra. Bruna",Blocos!D:D)=0,"",IF((SUMIFS(Blocos!D:D,Blocos!E:E,"Dra. Bruna",Blocos!H:H,"Urgente")/SUMIF(Blocos!E:E,"Dra. Bruna",Blocos!D:D))&gt;=0.6,"⚠️ Bombeiro",IF((SUMIFS(Blocos!D:D,Blocos!E:E,"Dra. Bruna",Blocos!H:H,"Importante")/SUMIF(Blocos!E:E,"Dra. Bruna",Blocos!D:D))&gt;=0.7,"🎯 Protegida","")))</f>
        <v/>
      </c>
      <c r="B13" s="34">
        <f>IF(SUMIF(Blocos!E:E,"Dra. Bruna",Blocos!D:D)=0,"Sem horas em 🎓 Dra. Bruna esta semana.",IF((SUMIFS(Blocos!D:D,Blocos!E:E,"Dra. Bruna",Blocos!H:H,"Urgente")/SUMIF(Blocos!E:E,"Dra. Bruna",Blocos!D:D))&gt;=0.6,"🎓 Dra. Bruna: "&amp;TEXT(SUMIFS(Blocos!D:D,Blocos!E:E,"Dra. Bruna",Blocos!H:H,"Urgente")/SUMIF(Blocos!E:E,"Dra. Bruna",Blocos!D:D),"0%")&amp;" Urgente. Vale pensar em delegar, redesenhar pipeline de demanda ou aceitar conscientemente que essa é sua frente reativa.",IF((SUMIFS(Blocos!D:D,Blocos!E:E,"Dra. Bruna",Blocos!H:H,"Importante")/SUMIF(Blocos!E:E,"Dra. Bruna",Blocos!D:D))&gt;=0.7,"🎓 Dra. Bruna: "&amp;TEXT(SUMIFS(Blocos!D:D,Blocos!E:E,"Dra. Bruna",Blocos!H:H,"Importante")/SUMIF(Blocos!E:E,"Dra. Bruna",Blocos!D:D),"0%")&amp;" Importante. Você está investindo bem nessa frente — onde provavelmente está seu maior ROI estratégico.","🎓 Dra. Bruna: equilibrada ("&amp;TEXT(SUMIFS(Blocos!D:D,Blocos!E:E,"Dra. Bruna",Blocos!H:H,"Importante")/SUMIF(Blocos!E:E,"Dra. Bruna",Blocos!D:D),"0%")&amp;" Imp / "&amp;TEXT(SUMIFS(Blocos!D:D,Blocos!E:E,"Dra. Bruna",Blocos!H:H,"Urgente")/SUMIF(Blocos!E:E,"Dra. Bruna",Blocos!D:D),"0%")&amp;" Urg).")))</f>
        <v/>
      </c>
    </row>
    <row r="14" ht="48" customHeight="1">
      <c r="A14" s="33">
        <f>IF(SUMIF(Blocos!E:E,"CuidaJA",Blocos!D:D)=0,"",IF((SUMIFS(Blocos!D:D,Blocos!E:E,"CuidaJA",Blocos!H:H,"Urgente")/SUMIF(Blocos!E:E,"CuidaJA",Blocos!D:D))&gt;=0.6,"⚠️ Bombeiro",IF((SUMIFS(Blocos!D:D,Blocos!E:E,"CuidaJA",Blocos!H:H,"Importante")/SUMIF(Blocos!E:E,"CuidaJA",Blocos!D:D))&gt;=0.7,"🎯 Protegida","")))</f>
        <v/>
      </c>
      <c r="B14" s="34">
        <f>IF(SUMIF(Blocos!E:E,"CuidaJA",Blocos!D:D)=0,"Sem horas em 🤝 CuidaJA esta semana.",IF((SUMIFS(Blocos!D:D,Blocos!E:E,"CuidaJA",Blocos!H:H,"Urgente")/SUMIF(Blocos!E:E,"CuidaJA",Blocos!D:D))&gt;=0.6,"🤝 CuidaJA: "&amp;TEXT(SUMIFS(Blocos!D:D,Blocos!E:E,"CuidaJA",Blocos!H:H,"Urgente")/SUMIF(Blocos!E:E,"CuidaJA",Blocos!D:D),"0%")&amp;" Urgente. Vale pensar em delegar, redesenhar pipeline de demanda ou aceitar conscientemente que essa é sua frente reativa.",IF((SUMIFS(Blocos!D:D,Blocos!E:E,"CuidaJA",Blocos!H:H,"Importante")/SUMIF(Blocos!E:E,"CuidaJA",Blocos!D:D))&gt;=0.7,"🤝 CuidaJA: "&amp;TEXT(SUMIFS(Blocos!D:D,Blocos!E:E,"CuidaJA",Blocos!H:H,"Importante")/SUMIF(Blocos!E:E,"CuidaJA",Blocos!D:D),"0%")&amp;" Importante. Você está investindo bem nessa frente — onde provavelmente está seu maior ROI estratégico.","🤝 CuidaJA: equilibrada ("&amp;TEXT(SUMIFS(Blocos!D:D,Blocos!E:E,"CuidaJA",Blocos!H:H,"Importante")/SUMIF(Blocos!E:E,"CuidaJA",Blocos!D:D),"0%")&amp;" Imp / "&amp;TEXT(SUMIFS(Blocos!D:D,Blocos!E:E,"CuidaJA",Blocos!H:H,"Urgente")/SUMIF(Blocos!E:E,"CuidaJA",Blocos!D:D),"0%")&amp;" Urg).")))</f>
        <v/>
      </c>
    </row>
    <row r="16">
      <c r="A16" s="35" t="inlineStr">
        <is>
          <t>💡 Coach gentil V1</t>
        </is>
      </c>
    </row>
    <row r="17" ht="30" customHeight="1">
      <c r="A17" s="36" t="inlineStr">
        <is>
          <t>Os insights são gerados por fórmulas IF baseadas em regras simples. Mude qualquer coisa na aba Blocos e os textos atualizam automaticamente.</t>
        </is>
      </c>
    </row>
  </sheetData>
  <mergeCells count="3">
    <mergeCell ref="A16:B16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2026-06-02T01:17:15Z</dcterms:created>
  <dcterms:modified xmlns:dcterms="http://purl.org/dc/terms/" xmlns:xsi="http://www.w3.org/2001/XMLSchema-instance" xsi:type="dcterms:W3CDTF">2026-06-02T01:17:15Z</dcterms:modified>
</cp:coreProperties>
</file>